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68afa1978c3eef/Documents/"/>
    </mc:Choice>
  </mc:AlternateContent>
  <xr:revisionPtr revIDLastSave="125" documentId="8_{05ED6171-C579-45AB-8BD4-B075329B8752}" xr6:coauthVersionLast="47" xr6:coauthVersionMax="47" xr10:uidLastSave="{990210DE-EAE5-40DB-A8B4-FED1B10B6BA2}"/>
  <bookViews>
    <workbookView minimized="1" xWindow="1848" yWindow="1848" windowWidth="11952" windowHeight="8880" activeTab="7" xr2:uid="{1F0090BB-3CC6-4527-BAC5-892109B4A940}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7" r:id="rId6"/>
    <sheet name="dashboard" sheetId="8" r:id="rId7"/>
    <sheet name="Financial Data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L7" i="1"/>
  <c r="L6" i="1"/>
  <c r="L5" i="1"/>
  <c r="L4" i="1"/>
  <c r="L3" i="1"/>
  <c r="L2" i="1"/>
  <c r="K7" i="1"/>
  <c r="K6" i="1"/>
  <c r="K5" i="1"/>
  <c r="K4" i="1"/>
  <c r="K3" i="1"/>
  <c r="K2" i="1"/>
  <c r="J7" i="1"/>
  <c r="J6" i="1"/>
  <c r="J5" i="1"/>
  <c r="J4" i="1"/>
  <c r="J3" i="1"/>
  <c r="J2" i="1"/>
  <c r="I7" i="1"/>
  <c r="I6" i="1"/>
  <c r="I5" i="1"/>
  <c r="I4" i="1"/>
  <c r="I3" i="1"/>
  <c r="I2" i="1"/>
  <c r="H7" i="1"/>
  <c r="H6" i="1"/>
  <c r="H4" i="1"/>
  <c r="H2" i="1"/>
</calcChain>
</file>

<file path=xl/sharedStrings.xml><?xml version="1.0" encoding="utf-8"?>
<sst xmlns="http://schemas.openxmlformats.org/spreadsheetml/2006/main" count="18" uniqueCount="18">
  <si>
    <t>Month</t>
  </si>
  <si>
    <t>Revenue</t>
  </si>
  <si>
    <t>Expenses</t>
  </si>
  <si>
    <t>Marketing Cost</t>
  </si>
  <si>
    <t>New Customers</t>
  </si>
  <si>
    <t>Avg Revenue/Customer</t>
  </si>
  <si>
    <t>Customer Lifetime</t>
  </si>
  <si>
    <t>Jan</t>
  </si>
  <si>
    <t>Feb</t>
  </si>
  <si>
    <t>Mar</t>
  </si>
  <si>
    <t>Apr</t>
  </si>
  <si>
    <t>May</t>
  </si>
  <si>
    <t>Jun</t>
  </si>
  <si>
    <t>Burn Rate</t>
  </si>
  <si>
    <t>CAC</t>
  </si>
  <si>
    <t>LTV</t>
  </si>
  <si>
    <t>LTV:CAC</t>
  </si>
  <si>
    <t>Run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</si>
</sst>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microsoft.com/office/2017/10/relationships/person" Target="persons/perso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</a:t>
            </a:r>
            <a:r>
              <a:rPr lang="en-US" baseline="0"/>
              <a:t> Expenses Trend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Data'!$B$2:$B$7</c:f>
              <c:numCache>
                <c:formatCode>General</c:formatCode>
                <c:ptCount val="6"/>
                <c:pt idx="0">
                  <c:v>500000</c:v>
                </c:pt>
                <c:pt idx="1">
                  <c:v>550000</c:v>
                </c:pt>
                <c:pt idx="2">
                  <c:v>600000</c:v>
                </c:pt>
                <c:pt idx="3">
                  <c:v>620000</c:v>
                </c:pt>
                <c:pt idx="4">
                  <c:v>650000</c:v>
                </c:pt>
                <c:pt idx="5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9-40CF-9976-8905E9E83AE1}"/>
            </c:ext>
          </c:extLst>
        </c:ser>
        <c:ser>
          <c:idx val="1"/>
          <c:order val="1"/>
          <c:tx>
            <c:strRef>
              <c:f>'Financial Data'!$C$1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Data'!$C$2:$C$7</c:f>
              <c:numCache>
                <c:formatCode>General</c:formatCode>
                <c:ptCount val="6"/>
                <c:pt idx="0">
                  <c:v>300000</c:v>
                </c:pt>
                <c:pt idx="1">
                  <c:v>320000</c:v>
                </c:pt>
                <c:pt idx="2">
                  <c:v>340000</c:v>
                </c:pt>
                <c:pt idx="3">
                  <c:v>360000</c:v>
                </c:pt>
                <c:pt idx="4">
                  <c:v>370000</c:v>
                </c:pt>
                <c:pt idx="5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9-40CF-9976-8905E9E8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741792"/>
        <c:axId val="1748112240"/>
      </c:lineChart>
      <c:catAx>
        <c:axId val="16627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12240"/>
        <c:crosses val="autoZero"/>
        <c:auto val="1"/>
        <c:lblAlgn val="ctr"/>
        <c:lblOffset val="100"/>
        <c:noMultiLvlLbl val="0"/>
      </c:catAx>
      <c:valAx>
        <c:axId val="17481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4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  <a:p>
            <a:pPr>
              <a:defRPr/>
            </a:pP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Data'!$B$2:$B$7</c:f>
              <c:numCache>
                <c:formatCode>General</c:formatCode>
                <c:ptCount val="6"/>
                <c:pt idx="0">
                  <c:v>500000</c:v>
                </c:pt>
                <c:pt idx="1">
                  <c:v>550000</c:v>
                </c:pt>
                <c:pt idx="2">
                  <c:v>600000</c:v>
                </c:pt>
                <c:pt idx="3">
                  <c:v>620000</c:v>
                </c:pt>
                <c:pt idx="4">
                  <c:v>650000</c:v>
                </c:pt>
                <c:pt idx="5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3-4C61-B94A-9937F607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070928"/>
        <c:axId val="1748104560"/>
      </c:lineChart>
      <c:catAx>
        <c:axId val="167107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04560"/>
        <c:crosses val="autoZero"/>
        <c:auto val="1"/>
        <c:lblAlgn val="ctr"/>
        <c:lblOffset val="100"/>
        <c:noMultiLvlLbl val="0"/>
      </c:catAx>
      <c:valAx>
        <c:axId val="17481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rate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Data'!$B$2:$H$2</c:f>
              <c:numCache>
                <c:formatCode>General</c:formatCode>
                <c:ptCount val="7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3-48EA-B4E1-F83CBE9211F5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Data'!$B$3:$H$3</c:f>
              <c:numCache>
                <c:formatCode>General</c:formatCode>
                <c:ptCount val="7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3-48EA-B4E1-F83CBE9211F5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Data'!$B$4:$H$4</c:f>
              <c:numCache>
                <c:formatCode>General</c:formatCode>
                <c:ptCount val="7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3-48EA-B4E1-F83CBE9211F5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Data'!$B$5:$H$5</c:f>
              <c:numCache>
                <c:formatCode>General</c:formatCode>
                <c:ptCount val="7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33-48EA-B4E1-F83CBE9211F5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Data'!$B$6:$H$6</c:f>
              <c:numCache>
                <c:formatCode>General</c:formatCode>
                <c:ptCount val="7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33-48EA-B4E1-F83CBE9211F5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Data'!$B$7:$H$7</c:f>
              <c:numCache>
                <c:formatCode>General</c:formatCode>
                <c:ptCount val="7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33-48EA-B4E1-F83CBE921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188624"/>
        <c:axId val="1748089680"/>
        <c:axId val="0"/>
      </c:bar3DChart>
      <c:catAx>
        <c:axId val="17571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89680"/>
        <c:crosses val="autoZero"/>
        <c:auto val="1"/>
        <c:lblAlgn val="ctr"/>
        <c:lblOffset val="100"/>
        <c:noMultiLvlLbl val="0"/>
      </c:catAx>
      <c:valAx>
        <c:axId val="1748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0-41B8-BCC2-9D24AA841BF2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0-41B8-BCC2-9D24AA841BF2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0-41B8-BCC2-9D24AA841BF2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00-41B8-BCC2-9D24AA841BF2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00-41B8-BCC2-9D24AA841BF2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00-41B8-BCC2-9D24AA841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LTV</a:t>
            </a:r>
            <a:r>
              <a:rPr lang="en-IN" baseline="0"/>
              <a:t>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Data'!$B$2:$J$2</c:f>
              <c:numCache>
                <c:formatCode>General</c:formatCode>
                <c:ptCount val="9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5-427D-9940-3F9D54D0B8A3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Data'!$B$3:$J$3</c:f>
              <c:numCache>
                <c:formatCode>General</c:formatCode>
                <c:ptCount val="9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5-427D-9940-3F9D54D0B8A3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Data'!$B$4:$J$4</c:f>
              <c:numCache>
                <c:formatCode>General</c:formatCode>
                <c:ptCount val="9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5-427D-9940-3F9D54D0B8A3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Data'!$B$5:$J$5</c:f>
              <c:numCache>
                <c:formatCode>General</c:formatCode>
                <c:ptCount val="9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5-427D-9940-3F9D54D0B8A3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Data'!$B$6:$J$6</c:f>
              <c:numCache>
                <c:formatCode>General</c:formatCode>
                <c:ptCount val="9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35-427D-9940-3F9D54D0B8A3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Data'!$B$7:$J$7</c:f>
              <c:numCache>
                <c:formatCode>General</c:formatCode>
                <c:ptCount val="9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35-427D-9940-3F9D54D0B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20640"/>
        <c:axId val="1657352336"/>
      </c:lineChart>
      <c:catAx>
        <c:axId val="17572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52336"/>
        <c:crosses val="autoZero"/>
        <c:auto val="1"/>
        <c:lblAlgn val="ctr"/>
        <c:lblOffset val="100"/>
        <c:noMultiLvlLbl val="0"/>
      </c:catAx>
      <c:valAx>
        <c:axId val="16573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</a:t>
            </a:r>
            <a:r>
              <a:rPr lang="en-IN" baseline="0"/>
              <a:t>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Data'!$B$2:$L$2</c:f>
              <c:numCache>
                <c:formatCode>General</c:formatCode>
                <c:ptCount val="11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  <c:pt idx="9">
                  <c:v>25</c:v>
                </c:pt>
                <c:pt idx="10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B-47F3-9F22-DBBBE57A5409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Data'!$B$3:$L$3</c:f>
              <c:numCache>
                <c:formatCode>General</c:formatCode>
                <c:ptCount val="11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  <c:pt idx="9">
                  <c:v>25.384615384615387</c:v>
                </c:pt>
                <c:pt idx="10">
                  <c:v>6600000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B-47F3-9F22-DBBBE57A5409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Data'!$B$4:$L$4</c:f>
              <c:numCache>
                <c:formatCode>General</c:formatCode>
                <c:ptCount val="11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  <c:pt idx="9">
                  <c:v>26.785714285714285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B-47F3-9F22-DBBBE57A5409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Data'!$B$5:$L$5</c:f>
              <c:numCache>
                <c:formatCode>General</c:formatCode>
                <c:ptCount val="11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  <c:pt idx="9">
                  <c:v>27.083333333333336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B-47F3-9F22-DBBBE57A5409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Data'!$B$6:$L$6</c:f>
              <c:numCache>
                <c:formatCode>General</c:formatCode>
                <c:ptCount val="11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  <c:pt idx="9">
                  <c:v>28.000000000000004</c:v>
                </c:pt>
                <c:pt idx="10">
                  <c:v>7800000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B-47F3-9F22-DBBBE57A5409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Data'!$B$7:$L$7</c:f>
              <c:numCache>
                <c:formatCode>General</c:formatCode>
                <c:ptCount val="11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  <c:pt idx="9">
                  <c:v>28.124999999999996</c:v>
                </c:pt>
                <c:pt idx="10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9B-47F3-9F22-DBBBE57A5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213216"/>
        <c:axId val="1748078640"/>
        <c:axId val="0"/>
      </c:bar3DChart>
      <c:catAx>
        <c:axId val="17572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78640"/>
        <c:crosses val="autoZero"/>
        <c:auto val="1"/>
        <c:lblAlgn val="ctr"/>
        <c:lblOffset val="100"/>
        <c:noMultiLvlLbl val="0"/>
      </c:catAx>
      <c:valAx>
        <c:axId val="1748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</a:t>
            </a:r>
            <a:r>
              <a:rPr lang="en-US" baseline="0"/>
              <a:t> Expenses Trend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Data'!$B$2:$B$7</c:f>
              <c:numCache>
                <c:formatCode>General</c:formatCode>
                <c:ptCount val="6"/>
                <c:pt idx="0">
                  <c:v>500000</c:v>
                </c:pt>
                <c:pt idx="1">
                  <c:v>550000</c:v>
                </c:pt>
                <c:pt idx="2">
                  <c:v>600000</c:v>
                </c:pt>
                <c:pt idx="3">
                  <c:v>620000</c:v>
                </c:pt>
                <c:pt idx="4">
                  <c:v>650000</c:v>
                </c:pt>
                <c:pt idx="5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8-4A54-80B5-1324D0661492}"/>
            </c:ext>
          </c:extLst>
        </c:ser>
        <c:ser>
          <c:idx val="1"/>
          <c:order val="1"/>
          <c:tx>
            <c:strRef>
              <c:f>'Financial Data'!$C$1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Data'!$C$2:$C$7</c:f>
              <c:numCache>
                <c:formatCode>General</c:formatCode>
                <c:ptCount val="6"/>
                <c:pt idx="0">
                  <c:v>300000</c:v>
                </c:pt>
                <c:pt idx="1">
                  <c:v>320000</c:v>
                </c:pt>
                <c:pt idx="2">
                  <c:v>340000</c:v>
                </c:pt>
                <c:pt idx="3">
                  <c:v>360000</c:v>
                </c:pt>
                <c:pt idx="4">
                  <c:v>370000</c:v>
                </c:pt>
                <c:pt idx="5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8-4A54-80B5-1324D0661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741792"/>
        <c:axId val="1748112240"/>
      </c:lineChart>
      <c:catAx>
        <c:axId val="16627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12240"/>
        <c:crosses val="autoZero"/>
        <c:auto val="1"/>
        <c:lblAlgn val="ctr"/>
        <c:lblOffset val="100"/>
        <c:noMultiLvlLbl val="0"/>
      </c:catAx>
      <c:valAx>
        <c:axId val="17481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7417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  <a:p>
            <a:pPr>
              <a:defRPr/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  <a:p>
            <a:pPr>
              <a:defRPr/>
            </a:pPr>
            <a:endParaRPr lang="en-IN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Data'!$B$2:$B$7</c:f>
              <c:numCache>
                <c:formatCode>General</c:formatCode>
                <c:ptCount val="6"/>
                <c:pt idx="0">
                  <c:v>500000</c:v>
                </c:pt>
                <c:pt idx="1">
                  <c:v>550000</c:v>
                </c:pt>
                <c:pt idx="2">
                  <c:v>600000</c:v>
                </c:pt>
                <c:pt idx="3">
                  <c:v>620000</c:v>
                </c:pt>
                <c:pt idx="4">
                  <c:v>650000</c:v>
                </c:pt>
                <c:pt idx="5">
                  <c:v>700000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B-4A4C-AFA5-1E99A309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070928"/>
        <c:axId val="1748104560"/>
      </c:lineChart>
      <c:catAx>
        <c:axId val="167107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04560"/>
        <c:crosses val="autoZero"/>
        <c:auto val="1"/>
        <c:lblAlgn val="ctr"/>
        <c:lblOffset val="100"/>
        <c:noMultiLvlLbl val="0"/>
      </c:catAx>
      <c:valAx>
        <c:axId val="174810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0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rate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Data'!$B$2:$H$2</c:f>
              <c:numCache>
                <c:formatCode>General</c:formatCode>
                <c:ptCount val="7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C-40E5-A972-563C35BD3D16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Data'!$B$3:$H$3</c:f>
              <c:numCache>
                <c:formatCode>General</c:formatCode>
                <c:ptCount val="7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C-40E5-A972-563C35BD3D16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Data'!$B$4:$H$4</c:f>
              <c:numCache>
                <c:formatCode>General</c:formatCode>
                <c:ptCount val="7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C-40E5-A972-563C35BD3D16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Data'!$B$5:$H$5</c:f>
              <c:numCache>
                <c:formatCode>General</c:formatCode>
                <c:ptCount val="7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9C-40E5-A972-563C35BD3D16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Data'!$B$6:$H$6</c:f>
              <c:numCache>
                <c:formatCode>General</c:formatCode>
                <c:ptCount val="7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9C-40E5-A972-563C35BD3D16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Data'!$B$7:$H$7</c:f>
              <c:numCache>
                <c:formatCode>General</c:formatCode>
                <c:ptCount val="7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9C-40E5-A972-563C35BD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188624"/>
        <c:axId val="1748089680"/>
        <c:axId val="0"/>
      </c:bar3DChart>
      <c:catAx>
        <c:axId val="17571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89680"/>
        <c:crosses val="autoZero"/>
        <c:auto val="1"/>
        <c:lblAlgn val="ctr"/>
        <c:lblOffset val="100"/>
        <c:noMultiLvlLbl val="0"/>
      </c:catAx>
      <c:valAx>
        <c:axId val="1748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7-4529-8B58-00BC57E7783E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7-4529-8B58-00BC57E7783E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7-4529-8B58-00BC57E7783E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7-4529-8B58-00BC57E7783E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37-4529-8B58-00BC57E7783E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37-4529-8B58-00BC57E77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</a:t>
            </a:r>
            <a:r>
              <a:rPr lang="en-US" baseline="0"/>
              <a:t> rate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Data'!$B$2:$H$2</c:f>
              <c:numCache>
                <c:formatCode>General</c:formatCode>
                <c:ptCount val="7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931-8983-1D3F90F0E4B7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Data'!$B$3:$H$3</c:f>
              <c:numCache>
                <c:formatCode>General</c:formatCode>
                <c:ptCount val="7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5-4931-8983-1D3F90F0E4B7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Data'!$B$4:$H$4</c:f>
              <c:numCache>
                <c:formatCode>General</c:formatCode>
                <c:ptCount val="7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5-4931-8983-1D3F90F0E4B7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Data'!$B$5:$H$5</c:f>
              <c:numCache>
                <c:formatCode>General</c:formatCode>
                <c:ptCount val="7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5-4931-8983-1D3F90F0E4B7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Data'!$B$6:$H$6</c:f>
              <c:numCache>
                <c:formatCode>General</c:formatCode>
                <c:ptCount val="7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5-4931-8983-1D3F90F0E4B7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Data'!$B$1:$H$1</c:f>
              <c:strCache>
                <c:ptCount val="7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</c:strCache>
            </c:strRef>
          </c:cat>
          <c:val>
            <c:numRef>
              <c:f>'Financial Data'!$B$7:$H$7</c:f>
              <c:numCache>
                <c:formatCode>General</c:formatCode>
                <c:ptCount val="7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5-4931-8983-1D3F90F0E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188624"/>
        <c:axId val="1748089680"/>
        <c:axId val="0"/>
      </c:bar3DChart>
      <c:catAx>
        <c:axId val="17571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89680"/>
        <c:crosses val="autoZero"/>
        <c:auto val="1"/>
        <c:lblAlgn val="ctr"/>
        <c:lblOffset val="100"/>
        <c:noMultiLvlLbl val="0"/>
      </c:catAx>
      <c:valAx>
        <c:axId val="1748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1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5-4C4E-9022-6D7C51D32470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5-4C4E-9022-6D7C51D32470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5-4C4E-9022-6D7C51D32470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B5-4C4E-9022-6D7C51D32470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B5-4C4E-9022-6D7C51D32470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B5-4C4E-9022-6D7C51D3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A-4651-867E-A7B936227E50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A-4651-867E-A7B936227E50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DA-4651-867E-A7B936227E50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DA-4651-867E-A7B936227E50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DA-4651-867E-A7B936227E50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DA-4651-867E-A7B936227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</a:t>
            </a:r>
            <a:r>
              <a:rPr lang="en-IN" baseline="0"/>
              <a:t>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Data'!$B$2:$L$2</c:f>
              <c:numCache>
                <c:formatCode>General</c:formatCode>
                <c:ptCount val="11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  <c:pt idx="9">
                  <c:v>25</c:v>
                </c:pt>
                <c:pt idx="10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5-4383-8661-2B6E588ED106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Data'!$B$3:$L$3</c:f>
              <c:numCache>
                <c:formatCode>General</c:formatCode>
                <c:ptCount val="11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  <c:pt idx="9">
                  <c:v>25.384615384615387</c:v>
                </c:pt>
                <c:pt idx="10">
                  <c:v>6600000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5-4383-8661-2B6E588ED106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Data'!$B$4:$L$4</c:f>
              <c:numCache>
                <c:formatCode>General</c:formatCode>
                <c:ptCount val="11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  <c:pt idx="9">
                  <c:v>26.785714285714285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5-4383-8661-2B6E588ED106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Data'!$B$5:$L$5</c:f>
              <c:numCache>
                <c:formatCode>General</c:formatCode>
                <c:ptCount val="11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  <c:pt idx="9">
                  <c:v>27.083333333333336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D5-4383-8661-2B6E588ED106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Data'!$B$6:$L$6</c:f>
              <c:numCache>
                <c:formatCode>General</c:formatCode>
                <c:ptCount val="11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  <c:pt idx="9">
                  <c:v>28.000000000000004</c:v>
                </c:pt>
                <c:pt idx="10">
                  <c:v>7800000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5-4383-8661-2B6E588ED106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Data'!$B$7:$L$7</c:f>
              <c:numCache>
                <c:formatCode>General</c:formatCode>
                <c:ptCount val="11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  <c:pt idx="9">
                  <c:v>28.124999999999996</c:v>
                </c:pt>
                <c:pt idx="10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D5-4383-8661-2B6E588ED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213216"/>
        <c:axId val="1748078640"/>
        <c:axId val="0"/>
      </c:bar3DChart>
      <c:catAx>
        <c:axId val="17572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78640"/>
        <c:crosses val="autoZero"/>
        <c:auto val="1"/>
        <c:lblAlgn val="ctr"/>
        <c:lblOffset val="100"/>
        <c:noMultiLvlLbl val="0"/>
      </c:catAx>
      <c:valAx>
        <c:axId val="1748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</a:t>
            </a:r>
            <a:r>
              <a:rPr lang="en-IN" baseline="0"/>
              <a:t>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Data'!$B$2:$L$2</c:f>
              <c:numCache>
                <c:formatCode>General</c:formatCode>
                <c:ptCount val="11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  <c:pt idx="9">
                  <c:v>25</c:v>
                </c:pt>
                <c:pt idx="10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5-46A1-821C-1D1418F21ED1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Data'!$B$3:$L$3</c:f>
              <c:numCache>
                <c:formatCode>General</c:formatCode>
                <c:ptCount val="11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  <c:pt idx="9">
                  <c:v>25.384615384615387</c:v>
                </c:pt>
                <c:pt idx="10">
                  <c:v>6600000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5-46A1-821C-1D1418F21ED1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Data'!$B$4:$L$4</c:f>
              <c:numCache>
                <c:formatCode>General</c:formatCode>
                <c:ptCount val="11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  <c:pt idx="9">
                  <c:v>26.785714285714285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5-46A1-821C-1D1418F21ED1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Data'!$B$5:$L$5</c:f>
              <c:numCache>
                <c:formatCode>General</c:formatCode>
                <c:ptCount val="11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  <c:pt idx="9">
                  <c:v>27.083333333333336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5-46A1-821C-1D1418F21ED1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Data'!$B$6:$L$6</c:f>
              <c:numCache>
                <c:formatCode>General</c:formatCode>
                <c:ptCount val="11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  <c:pt idx="9">
                  <c:v>28.000000000000004</c:v>
                </c:pt>
                <c:pt idx="10">
                  <c:v>7800000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5-46A1-821C-1D1418F21ED1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Data'!$B$7:$L$7</c:f>
              <c:numCache>
                <c:formatCode>General</c:formatCode>
                <c:ptCount val="11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  <c:pt idx="9">
                  <c:v>28.124999999999996</c:v>
                </c:pt>
                <c:pt idx="10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5-46A1-821C-1D1418F21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213216"/>
        <c:axId val="1748078640"/>
        <c:axId val="0"/>
      </c:bar3DChart>
      <c:catAx>
        <c:axId val="17572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78640"/>
        <c:crosses val="autoZero"/>
        <c:auto val="1"/>
        <c:lblAlgn val="ctr"/>
        <c:lblOffset val="100"/>
        <c:noMultiLvlLbl val="0"/>
      </c:catAx>
      <c:valAx>
        <c:axId val="1748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D-4910-B7DD-C47B30E73541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D-4910-B7DD-C47B30E73541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6D-4910-B7DD-C47B30E73541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6D-4910-B7DD-C47B30E73541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6D-4910-B7DD-C47B30E73541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6D-4910-B7DD-C47B30E73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CAC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Data'!$B$2:$I$2</c:f>
              <c:numCache>
                <c:formatCode>General</c:formatCode>
                <c:ptCount val="8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2-4403-9576-ED69588D4898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Data'!$B$3:$I$3</c:f>
              <c:numCache>
                <c:formatCode>General</c:formatCode>
                <c:ptCount val="8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2-4403-9576-ED69588D4898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Data'!$B$4:$I$4</c:f>
              <c:numCache>
                <c:formatCode>General</c:formatCode>
                <c:ptCount val="8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F2-4403-9576-ED69588D4898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Data'!$B$5:$I$5</c:f>
              <c:numCache>
                <c:formatCode>General</c:formatCode>
                <c:ptCount val="8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F2-4403-9576-ED69588D4898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Data'!$B$6:$I$6</c:f>
              <c:numCache>
                <c:formatCode>General</c:formatCode>
                <c:ptCount val="8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F2-4403-9576-ED69588D4898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Data'!$B$1:$I$1</c:f>
              <c:strCache>
                <c:ptCount val="8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</c:strCache>
            </c:strRef>
          </c:cat>
          <c:val>
            <c:numRef>
              <c:f>'Financial Data'!$B$7:$I$7</c:f>
              <c:numCache>
                <c:formatCode>General</c:formatCode>
                <c:ptCount val="8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F2-4403-9576-ED69588D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76784"/>
        <c:axId val="1657334576"/>
      </c:lineChart>
      <c:catAx>
        <c:axId val="17572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34576"/>
        <c:crosses val="autoZero"/>
        <c:auto val="1"/>
        <c:lblAlgn val="ctr"/>
        <c:lblOffset val="100"/>
        <c:noMultiLvlLbl val="0"/>
      </c:catAx>
      <c:valAx>
        <c:axId val="16573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LTV</a:t>
            </a:r>
            <a:r>
              <a:rPr lang="en-IN" baseline="0"/>
              <a:t>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Data'!$B$2:$J$2</c:f>
              <c:numCache>
                <c:formatCode>General</c:formatCode>
                <c:ptCount val="9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3-481A-A641-00E851D81068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Data'!$B$3:$J$3</c:f>
              <c:numCache>
                <c:formatCode>General</c:formatCode>
                <c:ptCount val="9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3-481A-A641-00E851D81068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Data'!$B$4:$J$4</c:f>
              <c:numCache>
                <c:formatCode>General</c:formatCode>
                <c:ptCount val="9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3-481A-A641-00E851D81068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Data'!$B$5:$J$5</c:f>
              <c:numCache>
                <c:formatCode>General</c:formatCode>
                <c:ptCount val="9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3-481A-A641-00E851D81068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Data'!$B$6:$J$6</c:f>
              <c:numCache>
                <c:formatCode>General</c:formatCode>
                <c:ptCount val="9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93-481A-A641-00E851D81068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'Financial Data'!$B$1:$J$1</c:f>
              <c:strCache>
                <c:ptCount val="9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</c:strCache>
            </c:strRef>
          </c:cat>
          <c:val>
            <c:numRef>
              <c:f>'Financial Data'!$B$7:$J$7</c:f>
              <c:numCache>
                <c:formatCode>General</c:formatCode>
                <c:ptCount val="9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93-481A-A641-00E851D81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220640"/>
        <c:axId val="1657352336"/>
      </c:lineChart>
      <c:catAx>
        <c:axId val="17572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52336"/>
        <c:crosses val="autoZero"/>
        <c:auto val="1"/>
        <c:lblAlgn val="ctr"/>
        <c:lblOffset val="100"/>
        <c:noMultiLvlLbl val="0"/>
      </c:catAx>
      <c:valAx>
        <c:axId val="16573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</a:t>
            </a:r>
            <a:r>
              <a:rPr lang="en-IN" baseline="0"/>
              <a:t>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'Financial Data'!$A$2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Data'!$B$2:$L$2</c:f>
              <c:numCache>
                <c:formatCode>General</c:formatCode>
                <c:ptCount val="11"/>
                <c:pt idx="0">
                  <c:v>500000</c:v>
                </c:pt>
                <c:pt idx="1">
                  <c:v>300000</c:v>
                </c:pt>
                <c:pt idx="2">
                  <c:v>60000</c:v>
                </c:pt>
                <c:pt idx="3">
                  <c:v>200</c:v>
                </c:pt>
                <c:pt idx="4">
                  <c:v>2500</c:v>
                </c:pt>
                <c:pt idx="5">
                  <c:v>3</c:v>
                </c:pt>
                <c:pt idx="6">
                  <c:v>300000</c:v>
                </c:pt>
                <c:pt idx="7">
                  <c:v>300</c:v>
                </c:pt>
                <c:pt idx="8">
                  <c:v>7500</c:v>
                </c:pt>
                <c:pt idx="9">
                  <c:v>25</c:v>
                </c:pt>
                <c:pt idx="10">
                  <c:v>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5-48C6-8D94-71CF0854BE31}"/>
            </c:ext>
          </c:extLst>
        </c:ser>
        <c:ser>
          <c:idx val="1"/>
          <c:order val="1"/>
          <c:tx>
            <c:strRef>
              <c:f>'Financial Data'!$A$3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Data'!$B$3:$L$3</c:f>
              <c:numCache>
                <c:formatCode>General</c:formatCode>
                <c:ptCount val="11"/>
                <c:pt idx="0">
                  <c:v>550000</c:v>
                </c:pt>
                <c:pt idx="1">
                  <c:v>320000</c:v>
                </c:pt>
                <c:pt idx="2">
                  <c:v>65000</c:v>
                </c:pt>
                <c:pt idx="3">
                  <c:v>220</c:v>
                </c:pt>
                <c:pt idx="4">
                  <c:v>2500</c:v>
                </c:pt>
                <c:pt idx="5">
                  <c:v>3</c:v>
                </c:pt>
                <c:pt idx="6">
                  <c:v>320000</c:v>
                </c:pt>
                <c:pt idx="7">
                  <c:v>295.45454545454544</c:v>
                </c:pt>
                <c:pt idx="8">
                  <c:v>7500</c:v>
                </c:pt>
                <c:pt idx="9">
                  <c:v>25.384615384615387</c:v>
                </c:pt>
                <c:pt idx="10">
                  <c:v>6600000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5-48C6-8D94-71CF0854BE31}"/>
            </c:ext>
          </c:extLst>
        </c:ser>
        <c:ser>
          <c:idx val="2"/>
          <c:order val="2"/>
          <c:tx>
            <c:strRef>
              <c:f>'Financial Data'!$A$4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Data'!$B$4:$L$4</c:f>
              <c:numCache>
                <c:formatCode>General</c:formatCode>
                <c:ptCount val="11"/>
                <c:pt idx="0">
                  <c:v>600000</c:v>
                </c:pt>
                <c:pt idx="1">
                  <c:v>340000</c:v>
                </c:pt>
                <c:pt idx="2">
                  <c:v>70000</c:v>
                </c:pt>
                <c:pt idx="3">
                  <c:v>250</c:v>
                </c:pt>
                <c:pt idx="4">
                  <c:v>2500</c:v>
                </c:pt>
                <c:pt idx="5">
                  <c:v>3</c:v>
                </c:pt>
                <c:pt idx="6">
                  <c:v>340000</c:v>
                </c:pt>
                <c:pt idx="7">
                  <c:v>280</c:v>
                </c:pt>
                <c:pt idx="8">
                  <c:v>7500</c:v>
                </c:pt>
                <c:pt idx="9">
                  <c:v>26.785714285714285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15-48C6-8D94-71CF0854BE31}"/>
            </c:ext>
          </c:extLst>
        </c:ser>
        <c:ser>
          <c:idx val="3"/>
          <c:order val="3"/>
          <c:tx>
            <c:strRef>
              <c:f>'Financial Data'!$A$5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Data'!$B$5:$L$5</c:f>
              <c:numCache>
                <c:formatCode>General</c:formatCode>
                <c:ptCount val="11"/>
                <c:pt idx="0">
                  <c:v>620000</c:v>
                </c:pt>
                <c:pt idx="1">
                  <c:v>360000</c:v>
                </c:pt>
                <c:pt idx="2">
                  <c:v>72000</c:v>
                </c:pt>
                <c:pt idx="3">
                  <c:v>260</c:v>
                </c:pt>
                <c:pt idx="4">
                  <c:v>2500</c:v>
                </c:pt>
                <c:pt idx="5">
                  <c:v>3</c:v>
                </c:pt>
                <c:pt idx="6">
                  <c:v>360000</c:v>
                </c:pt>
                <c:pt idx="7">
                  <c:v>276.92307692307691</c:v>
                </c:pt>
                <c:pt idx="8">
                  <c:v>7500</c:v>
                </c:pt>
                <c:pt idx="9">
                  <c:v>27.083333333333336</c:v>
                </c:pt>
                <c:pt idx="10">
                  <c:v>7200000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15-48C6-8D94-71CF0854BE31}"/>
            </c:ext>
          </c:extLst>
        </c:ser>
        <c:ser>
          <c:idx val="4"/>
          <c:order val="4"/>
          <c:tx>
            <c:strRef>
              <c:f>'Financial Data'!$A$6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Data'!$B$6:$L$6</c:f>
              <c:numCache>
                <c:formatCode>General</c:formatCode>
                <c:ptCount val="11"/>
                <c:pt idx="0">
                  <c:v>650000</c:v>
                </c:pt>
                <c:pt idx="1">
                  <c:v>370000</c:v>
                </c:pt>
                <c:pt idx="2">
                  <c:v>75000</c:v>
                </c:pt>
                <c:pt idx="3">
                  <c:v>280</c:v>
                </c:pt>
                <c:pt idx="4">
                  <c:v>2500</c:v>
                </c:pt>
                <c:pt idx="5">
                  <c:v>3</c:v>
                </c:pt>
                <c:pt idx="6">
                  <c:v>370000</c:v>
                </c:pt>
                <c:pt idx="7">
                  <c:v>267.85714285714283</c:v>
                </c:pt>
                <c:pt idx="8">
                  <c:v>7500</c:v>
                </c:pt>
                <c:pt idx="9">
                  <c:v>28.000000000000004</c:v>
                </c:pt>
                <c:pt idx="10">
                  <c:v>7800000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15-48C6-8D94-71CF0854BE31}"/>
            </c:ext>
          </c:extLst>
        </c:ser>
        <c:ser>
          <c:idx val="5"/>
          <c:order val="5"/>
          <c:tx>
            <c:strRef>
              <c:f>'Financial Data'!$A$7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'Financial Data'!$B$1:$L$1</c:f>
              <c:strCache>
                <c:ptCount val="11"/>
                <c:pt idx="0">
                  <c:v>Revenue</c:v>
                </c:pt>
                <c:pt idx="1">
                  <c:v>Expenses</c:v>
                </c:pt>
                <c:pt idx="2">
                  <c:v>Marketing Cost</c:v>
                </c:pt>
                <c:pt idx="3">
                  <c:v>New Customers</c:v>
                </c:pt>
                <c:pt idx="4">
                  <c:v>Avg Revenue/Customer</c:v>
                </c:pt>
                <c:pt idx="5">
                  <c:v>Customer Lifetime</c:v>
                </c:pt>
                <c:pt idx="6">
                  <c:v>Burn Rate</c:v>
                </c:pt>
                <c:pt idx="7">
                  <c:v>CAC</c:v>
                </c:pt>
                <c:pt idx="8">
                  <c:v>LTV</c:v>
                </c:pt>
                <c:pt idx="9">
                  <c:v>LTV:CAC</c:v>
                </c:pt>
                <c:pt idx="10">
                  <c:v>Run Rate</c:v>
                </c:pt>
              </c:strCache>
            </c:strRef>
          </c:cat>
          <c:val>
            <c:numRef>
              <c:f>'Financial Data'!$B$7:$L$7</c:f>
              <c:numCache>
                <c:formatCode>General</c:formatCode>
                <c:ptCount val="11"/>
                <c:pt idx="0">
                  <c:v>700000</c:v>
                </c:pt>
                <c:pt idx="1">
                  <c:v>390000</c:v>
                </c:pt>
                <c:pt idx="2">
                  <c:v>80000</c:v>
                </c:pt>
                <c:pt idx="3">
                  <c:v>300</c:v>
                </c:pt>
                <c:pt idx="4">
                  <c:v>2500</c:v>
                </c:pt>
                <c:pt idx="5">
                  <c:v>3</c:v>
                </c:pt>
                <c:pt idx="6">
                  <c:v>390000</c:v>
                </c:pt>
                <c:pt idx="7">
                  <c:v>266.66666666666669</c:v>
                </c:pt>
                <c:pt idx="8">
                  <c:v>7500</c:v>
                </c:pt>
                <c:pt idx="9">
                  <c:v>28.124999999999996</c:v>
                </c:pt>
                <c:pt idx="10">
                  <c:v>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15-48C6-8D94-71CF0854B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7213216"/>
        <c:axId val="1748078640"/>
        <c:axId val="0"/>
      </c:bar3DChart>
      <c:catAx>
        <c:axId val="17572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78640"/>
        <c:crosses val="autoZero"/>
        <c:auto val="1"/>
        <c:lblAlgn val="ctr"/>
        <c:lblOffset val="100"/>
        <c:noMultiLvlLbl val="0"/>
      </c:catAx>
      <c:valAx>
        <c:axId val="1748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33D675-D68A-48D2-B785-5FBA2E5BEDA3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7BD835-944B-469B-B159-76AB088CC55A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0CD728-AEC5-4EE2-8799-05917892A695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60C3AD-BFFA-4197-966C-7071F15CBDC6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F6895A-249C-415C-B5DF-86593A40D7D9}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C00C3B-C2F4-4541-BD94-C29739D4762E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3AB59-54E8-F283-3E4C-87E704B676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7CAFD-4FB5-933F-BF82-3EF2B2E85C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879ED-865D-DE9B-1E11-7F2DBFCC74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957B3-0306-201D-5957-A618D8EAC0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D4DEE5-01B7-8102-AAF6-FAE485AEF4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088DB-22EF-82BB-5BC9-89EE91D006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830" cy="62905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D142F5-BCF8-43E1-AB11-52D6978B70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0" y="7357241"/>
    <xdr:ext cx="8673830" cy="629055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B9AF94-AB73-49CA-9505-12AE5A6095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0" y="16002000"/>
    <xdr:ext cx="8673830" cy="629055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F2BC21-DFF9-41A8-9EB9-05A9185E0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0" y="23359241"/>
    <xdr:ext cx="8673830" cy="6290553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83167F-F272-4A12-A6C5-B9BC1EAC08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604345" y="14162690"/>
    <xdr:ext cx="8673830" cy="6290553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902BB6-A932-488A-AC97-D1A46B651D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absoluteAnchor>
    <xdr:pos x="604345" y="23543172"/>
    <xdr:ext cx="8673830" cy="629055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793B42-027A-499B-BEE6-FB19E31683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absoluteAnchor>
  <xdr:absoluteAnchor>
    <xdr:pos x="0" y="22807448"/>
    <xdr:ext cx="8673830" cy="6290553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DE8C29-7B71-4F44-BB89-07688D6E6C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absoluteAnchor>
  <xdr:absoluteAnchor>
    <xdr:pos x="0" y="29980759"/>
    <xdr:ext cx="8673830" cy="6290553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A7FDE0-16C7-4354-A431-0FB7FB68D9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  <xdr:absoluteAnchor>
    <xdr:pos x="0" y="31452207"/>
    <xdr:ext cx="8673830" cy="6290553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54430A-37F9-4F01-9C77-E067BD573D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absoluteAnchor>
  <xdr:absoluteAnchor>
    <xdr:pos x="2467429" y="25400000"/>
    <xdr:ext cx="8673830" cy="6290553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B4D4BF-B39C-4EA0-A81A-0CCB6CCA49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absoluteAnchor>
  <xdr:absoluteAnchor>
    <xdr:pos x="0" y="24311429"/>
    <xdr:ext cx="8673830" cy="6290553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21E686-0B7C-442A-BE3B-BDFFF62E58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absoluteAnchor>
  <xdr:absoluteAnchor>
    <xdr:pos x="0" y="32112857"/>
    <xdr:ext cx="8673830" cy="6290553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DE6B0D-7C66-403A-A833-FAB83E5468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absoluteAnchor>
  <xdr:absoluteAnchor>
    <xdr:pos x="0" y="40277143"/>
    <xdr:ext cx="8673830" cy="6290553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FC8FA5A-67D5-49FF-99CF-5116A88A8A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44BB-A7F1-47DA-BB18-62BD69E2B24B}">
  <dimension ref="V48:Z51"/>
  <sheetViews>
    <sheetView zoomScale="33" workbookViewId="0">
      <selection activeCell="AZ411" sqref="AZ411"/>
    </sheetView>
  </sheetViews>
  <sheetFormatPr defaultRowHeight="14.4" x14ac:dyDescent="0.3"/>
  <sheetData>
    <row r="48" spans="26:26" ht="23.4" x14ac:dyDescent="0.45">
      <c r="Z48" s="5"/>
    </row>
    <row r="51" spans="22:22" ht="17.399999999999999" x14ac:dyDescent="0.45">
      <c r="V5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3DF4-F6AF-4F30-BF92-BB1FCA8A4780}">
  <dimension ref="A1:L7"/>
  <sheetViews>
    <sheetView tabSelected="1" zoomScale="95" workbookViewId="0">
      <selection activeCell="K12" sqref="K12"/>
    </sheetView>
  </sheetViews>
  <sheetFormatPr defaultRowHeight="14.4" x14ac:dyDescent="0.3"/>
  <cols>
    <col min="2" max="3" width="11.77734375" bestFit="1" customWidth="1"/>
    <col min="4" max="4" width="10" bestFit="1" customWidth="1"/>
    <col min="5" max="7" width="9" bestFit="1" customWidth="1"/>
    <col min="8" max="8" width="11.77734375" bestFit="1" customWidth="1"/>
    <col min="9" max="11" width="9" bestFit="1" customWidth="1"/>
    <col min="12" max="12" width="13.5546875" bestFit="1" customWidth="1"/>
  </cols>
  <sheetData>
    <row r="1" spans="1:12" ht="1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ht="23.4" x14ac:dyDescent="0.45">
      <c r="A2" s="3" t="s">
        <v>7</v>
      </c>
      <c r="B2" s="4">
        <v>500000</v>
      </c>
      <c r="C2" s="4">
        <v>300000</v>
      </c>
      <c r="D2" s="4">
        <v>60000</v>
      </c>
      <c r="E2" s="4">
        <v>200</v>
      </c>
      <c r="F2" s="4">
        <v>2500</v>
      </c>
      <c r="G2" s="4">
        <v>3</v>
      </c>
      <c r="H2" s="5">
        <f t="shared" ref="H2:H7" si="0">C2</f>
        <v>300000</v>
      </c>
      <c r="I2" s="5">
        <f t="shared" ref="I2:I7" si="1">D2/E2</f>
        <v>300</v>
      </c>
      <c r="J2" s="5">
        <f t="shared" ref="J2:J7" si="2">F2*G2</f>
        <v>7500</v>
      </c>
      <c r="K2" s="5">
        <f t="shared" ref="K2:K7" si="3">J2/I2</f>
        <v>25</v>
      </c>
      <c r="L2" s="5">
        <f>B2*12</f>
        <v>6000000</v>
      </c>
    </row>
    <row r="3" spans="1:12" ht="23.4" x14ac:dyDescent="0.45">
      <c r="A3" s="3" t="s">
        <v>8</v>
      </c>
      <c r="B3" s="4">
        <v>550000</v>
      </c>
      <c r="C3" s="4">
        <v>320000</v>
      </c>
      <c r="D3" s="4">
        <v>65000</v>
      </c>
      <c r="E3" s="4">
        <v>220</v>
      </c>
      <c r="F3" s="4">
        <v>2500</v>
      </c>
      <c r="G3" s="4">
        <v>3</v>
      </c>
      <c r="H3" s="5">
        <f>C3</f>
        <v>320000</v>
      </c>
      <c r="I3" s="5">
        <f t="shared" si="1"/>
        <v>295.45454545454544</v>
      </c>
      <c r="J3" s="5">
        <f t="shared" si="2"/>
        <v>7500</v>
      </c>
      <c r="K3" s="5">
        <f t="shared" si="3"/>
        <v>25.384615384615387</v>
      </c>
      <c r="L3" s="5">
        <f>B3*12</f>
        <v>6600000</v>
      </c>
    </row>
    <row r="4" spans="1:12" ht="23.4" x14ac:dyDescent="0.45">
      <c r="A4" s="3" t="s">
        <v>9</v>
      </c>
      <c r="B4" s="4">
        <v>600000</v>
      </c>
      <c r="C4" s="4">
        <v>340000</v>
      </c>
      <c r="D4" s="4">
        <v>70000</v>
      </c>
      <c r="E4" s="4">
        <v>250</v>
      </c>
      <c r="F4" s="4">
        <v>2500</v>
      </c>
      <c r="G4" s="4">
        <v>3</v>
      </c>
      <c r="H4" s="5">
        <f t="shared" si="0"/>
        <v>340000</v>
      </c>
      <c r="I4" s="5">
        <f t="shared" si="1"/>
        <v>280</v>
      </c>
      <c r="J4" s="5">
        <f t="shared" si="2"/>
        <v>7500</v>
      </c>
      <c r="K4" s="5">
        <f t="shared" si="3"/>
        <v>26.785714285714285</v>
      </c>
      <c r="L4" s="5">
        <f>B4*12</f>
        <v>7200000</v>
      </c>
    </row>
    <row r="5" spans="1:12" ht="23.4" x14ac:dyDescent="0.45">
      <c r="A5" s="3" t="s">
        <v>10</v>
      </c>
      <c r="B5" s="4">
        <v>620000</v>
      </c>
      <c r="C5" s="4">
        <v>360000</v>
      </c>
      <c r="D5" s="4">
        <v>72000</v>
      </c>
      <c r="E5" s="4">
        <v>260</v>
      </c>
      <c r="F5" s="4">
        <v>2500</v>
      </c>
      <c r="G5" s="4">
        <v>3</v>
      </c>
      <c r="H5" s="5">
        <f>C5</f>
        <v>360000</v>
      </c>
      <c r="I5" s="5">
        <f t="shared" si="1"/>
        <v>276.92307692307691</v>
      </c>
      <c r="J5" s="5">
        <f t="shared" si="2"/>
        <v>7500</v>
      </c>
      <c r="K5" s="5">
        <f t="shared" si="3"/>
        <v>27.083333333333336</v>
      </c>
      <c r="L5" s="5">
        <f>B4*12</f>
        <v>7200000</v>
      </c>
    </row>
    <row r="6" spans="1:12" ht="23.4" x14ac:dyDescent="0.45">
      <c r="A6" s="3" t="s">
        <v>11</v>
      </c>
      <c r="B6" s="4">
        <v>650000</v>
      </c>
      <c r="C6" s="4">
        <v>370000</v>
      </c>
      <c r="D6" s="4">
        <v>75000</v>
      </c>
      <c r="E6" s="4">
        <v>280</v>
      </c>
      <c r="F6" s="4">
        <v>2500</v>
      </c>
      <c r="G6" s="4">
        <v>3</v>
      </c>
      <c r="H6" s="5">
        <f t="shared" si="0"/>
        <v>370000</v>
      </c>
      <c r="I6" s="5">
        <f t="shared" si="1"/>
        <v>267.85714285714283</v>
      </c>
      <c r="J6" s="5">
        <f t="shared" si="2"/>
        <v>7500</v>
      </c>
      <c r="K6" s="5">
        <f t="shared" si="3"/>
        <v>28.000000000000004</v>
      </c>
      <c r="L6" s="5">
        <f>B6*12</f>
        <v>7800000</v>
      </c>
    </row>
    <row r="7" spans="1:12" ht="23.4" x14ac:dyDescent="0.45">
      <c r="A7" s="3" t="s">
        <v>12</v>
      </c>
      <c r="B7" s="4">
        <v>700000</v>
      </c>
      <c r="C7" s="4">
        <v>390000</v>
      </c>
      <c r="D7" s="4">
        <v>80000</v>
      </c>
      <c r="E7" s="4">
        <v>300</v>
      </c>
      <c r="F7" s="4">
        <v>2500</v>
      </c>
      <c r="G7" s="4">
        <v>3</v>
      </c>
      <c r="H7" s="5">
        <f t="shared" si="0"/>
        <v>390000</v>
      </c>
      <c r="I7" s="5">
        <f t="shared" si="1"/>
        <v>266.66666666666669</v>
      </c>
      <c r="J7" s="5">
        <f t="shared" si="2"/>
        <v>7500</v>
      </c>
      <c r="K7" s="5">
        <f t="shared" si="3"/>
        <v>28.124999999999996</v>
      </c>
      <c r="L7" s="5">
        <f>B7*12</f>
        <v>8400000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</vt:vector>
  </HeadingPairs>
  <TitlesOfParts>
    <vt:vector size="8" baseType="lpstr">
      <vt:lpstr>dashboard</vt:lpstr>
      <vt:lpstr>Financial Data</vt:lpstr>
      <vt:lpstr>Chart1</vt:lpstr>
      <vt:lpstr>Chart2</vt:lpstr>
      <vt:lpstr>Chart3</vt:lpstr>
      <vt:lpstr>Chart4</vt:lpstr>
      <vt:lpstr>Chart5</vt:lpstr>
      <vt:lpstr>Chart6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Thowfi Kani</dc:creator>
  <cp:lastModifiedBy>Thowfi Kani</cp:lastModifiedBy>
  <dcterms:created xsi:type="dcterms:W3CDTF">2026-06-29T06:04:25Z</dcterms:created>
  <dcterms:modified xsi:type="dcterms:W3CDTF">2026-07-04T11:41:51Z</dcterms:modified>
</cp:coreProperties>
</file>